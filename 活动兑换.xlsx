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nlight\Unlight_Revive\Announcements\"/>
    </mc:Choice>
  </mc:AlternateContent>
  <xr:revisionPtr revIDLastSave="0" documentId="13_ncr:1_{F4F0E80F-244D-4BBD-BFA3-BF1E79B86214}" xr6:coauthVersionLast="47" xr6:coauthVersionMax="47" xr10:uidLastSave="{00000000-0000-0000-0000-000000000000}"/>
  <bookViews>
    <workbookView xWindow="18750" yWindow="4515" windowWidth="15405" windowHeight="14205" xr2:uid="{DC22B4BA-6B94-41B8-935E-265380A151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5" i="1" l="1"/>
  <c r="D46" i="1"/>
  <c r="D47" i="1"/>
  <c r="D5" i="1"/>
  <c r="D22" i="1"/>
  <c r="D23" i="1"/>
  <c r="D24" i="1"/>
  <c r="D19" i="1"/>
  <c r="D20" i="1"/>
  <c r="D21" i="1"/>
  <c r="D34" i="1"/>
  <c r="D33" i="1"/>
  <c r="D61" i="1"/>
  <c r="D40" i="1"/>
  <c r="D41" i="1"/>
  <c r="D42" i="1"/>
  <c r="D43" i="1"/>
  <c r="D44" i="1"/>
  <c r="D48" i="1"/>
  <c r="D49" i="1"/>
  <c r="D50" i="1"/>
  <c r="D39" i="1"/>
  <c r="D35" i="1"/>
  <c r="D32" i="1"/>
  <c r="D31" i="1"/>
  <c r="D8" i="1"/>
  <c r="D9" i="1"/>
  <c r="D10" i="1"/>
  <c r="D11" i="1"/>
  <c r="D12" i="1"/>
  <c r="D13" i="1"/>
  <c r="D14" i="1"/>
  <c r="D15" i="1"/>
  <c r="D16" i="1"/>
  <c r="D17" i="1"/>
  <c r="D18" i="1"/>
  <c r="D25" i="1"/>
  <c r="D26" i="1"/>
  <c r="D27" i="1"/>
  <c r="D3" i="1"/>
  <c r="D4" i="1"/>
  <c r="D6" i="1"/>
  <c r="D7" i="1"/>
  <c r="D2" i="1"/>
  <c r="D28" i="1" l="1"/>
  <c r="D51" i="1"/>
  <c r="D36" i="1"/>
  <c r="D60" i="1" l="1"/>
  <c r="D62" i="1" s="1"/>
  <c r="D63" i="1" s="1"/>
</calcChain>
</file>

<file path=xl/sharedStrings.xml><?xml version="1.0" encoding="utf-8"?>
<sst xmlns="http://schemas.openxmlformats.org/spreadsheetml/2006/main" count="52" uniqueCount="47">
  <si>
    <t>道具</t>
    <phoneticPr fontId="2" type="noConversion"/>
  </si>
  <si>
    <t>点数</t>
    <phoneticPr fontId="2" type="noConversion"/>
  </si>
  <si>
    <t>数量上限</t>
    <phoneticPr fontId="2" type="noConversion"/>
  </si>
  <si>
    <t>总点数</t>
    <phoneticPr fontId="2" type="noConversion"/>
  </si>
  <si>
    <t>人偶的日记本</t>
    <phoneticPr fontId="2" type="noConversion"/>
  </si>
  <si>
    <t>魔女的衣柜</t>
    <phoneticPr fontId="2" type="noConversion"/>
  </si>
  <si>
    <t>花1</t>
  </si>
  <si>
    <t>花3</t>
  </si>
  <si>
    <t>花5</t>
  </si>
  <si>
    <t>幸运草</t>
  </si>
  <si>
    <t>跳跃星</t>
  </si>
  <si>
    <t>3小时沙漏</t>
  </si>
  <si>
    <t>超时空沙漏</t>
  </si>
  <si>
    <t>Ex影大陆通行证1</t>
  </si>
  <si>
    <t>Ex影大陆通行证2</t>
  </si>
  <si>
    <t>Ex影大陆通行证3</t>
  </si>
  <si>
    <t>Ex月大陆通行证1</t>
  </si>
  <si>
    <t>Ex月大陆通行证2</t>
  </si>
  <si>
    <t>Ex月大陆通行证3</t>
  </si>
  <si>
    <t>*小计*</t>
    <phoneticPr fontId="2" type="noConversion"/>
  </si>
  <si>
    <t>5 GEM</t>
    <phoneticPr fontId="2" type="noConversion"/>
  </si>
  <si>
    <t>50 GEM</t>
    <phoneticPr fontId="2" type="noConversion"/>
  </si>
  <si>
    <t>100 GEM</t>
    <phoneticPr fontId="2" type="noConversion"/>
  </si>
  <si>
    <t>1000 GEM</t>
    <phoneticPr fontId="2" type="noConversion"/>
  </si>
  <si>
    <t>无限</t>
    <phoneticPr fontId="2" type="noConversion"/>
  </si>
  <si>
    <t>**卡片**</t>
    <phoneticPr fontId="2" type="noConversion"/>
  </si>
  <si>
    <t>**服饰**</t>
    <phoneticPr fontId="2" type="noConversion"/>
  </si>
  <si>
    <t>**其他**</t>
    <phoneticPr fontId="2" type="noConversion"/>
  </si>
  <si>
    <t>**总计**</t>
    <phoneticPr fontId="2" type="noConversion"/>
  </si>
  <si>
    <t>每日PVP星星（3V3）</t>
  </si>
  <si>
    <t>还需消耗AP</t>
    <phoneticPr fontId="2" type="noConversion"/>
  </si>
  <si>
    <t>还需消耗AP（仅好友3V3）</t>
    <phoneticPr fontId="2" type="noConversion"/>
  </si>
  <si>
    <r>
      <rPr>
        <sz val="11"/>
        <color theme="1"/>
        <rFont val="Yu Gothic"/>
        <family val="2"/>
        <charset val="128"/>
      </rPr>
      <t>ExAnemonea</t>
    </r>
    <r>
      <rPr>
        <sz val="11"/>
        <color theme="1"/>
        <rFont val="等线"/>
        <family val="2"/>
        <charset val="134"/>
        <scheme val="minor"/>
      </rPr>
      <t>通行证1</t>
    </r>
    <phoneticPr fontId="2" type="noConversion"/>
  </si>
  <si>
    <r>
      <rPr>
        <sz val="11"/>
        <color theme="1"/>
        <rFont val="Yu Gothic"/>
        <family val="2"/>
        <charset val="128"/>
      </rPr>
      <t>ExAnemonea</t>
    </r>
    <r>
      <rPr>
        <sz val="11"/>
        <color theme="1"/>
        <rFont val="等线"/>
        <family val="2"/>
        <charset val="134"/>
        <scheme val="minor"/>
      </rPr>
      <t>通行证2</t>
    </r>
    <r>
      <rPr>
        <sz val="11"/>
        <color theme="1"/>
        <rFont val="等线"/>
        <family val="2"/>
        <scheme val="minor"/>
      </rPr>
      <t/>
    </r>
  </si>
  <si>
    <r>
      <rPr>
        <sz val="11"/>
        <color theme="1"/>
        <rFont val="Yu Gothic"/>
        <family val="2"/>
        <charset val="128"/>
      </rPr>
      <t>ExAnemonea</t>
    </r>
    <r>
      <rPr>
        <sz val="11"/>
        <color theme="1"/>
        <rFont val="等线"/>
        <family val="2"/>
        <charset val="134"/>
        <scheme val="minor"/>
      </rPr>
      <t>通行证3</t>
    </r>
    <r>
      <rPr>
        <sz val="11"/>
        <color theme="1"/>
        <rFont val="等线"/>
        <family val="2"/>
        <scheme val="minor"/>
      </rPr>
      <t/>
    </r>
  </si>
  <si>
    <t>Ex天使大陆通行证1</t>
    <phoneticPr fontId="2" type="noConversion"/>
  </si>
  <si>
    <t>Ex天使大陆通行证2</t>
    <phoneticPr fontId="2" type="noConversion"/>
  </si>
  <si>
    <t>Ex天使大陆通行证3</t>
    <phoneticPr fontId="2" type="noConversion"/>
  </si>
  <si>
    <t>*GEM开放兑换时间：*&lt;br&gt;*活动结束后  ～ 2026/2/26定期维护前*</t>
    <phoneticPr fontId="2" type="noConversion"/>
  </si>
  <si>
    <r>
      <t>ホワイトローラー</t>
    </r>
    <r>
      <rPr>
        <sz val="11"/>
        <color theme="1"/>
        <rFont val="Yu Gothic"/>
        <family val="2"/>
        <charset val="128"/>
      </rPr>
      <t>&lt;br&gt;*</t>
    </r>
    <r>
      <rPr>
        <sz val="11"/>
        <color theme="1"/>
        <rFont val="等线"/>
        <family val="2"/>
        <charset val="134"/>
      </rPr>
      <t>白色擀面杖</t>
    </r>
    <r>
      <rPr>
        <sz val="11"/>
        <color theme="1"/>
        <rFont val="Yu Gothic"/>
        <family val="2"/>
        <charset val="128"/>
      </rPr>
      <t>*</t>
    </r>
    <phoneticPr fontId="2" type="noConversion"/>
  </si>
  <si>
    <t>毒杯</t>
    <phoneticPr fontId="2" type="noConversion"/>
  </si>
  <si>
    <t>盾3移1</t>
    <phoneticPr fontId="2" type="noConversion"/>
  </si>
  <si>
    <t>盾4移1</t>
    <phoneticPr fontId="2" type="noConversion"/>
  </si>
  <si>
    <t>盾5移1</t>
    <phoneticPr fontId="2" type="noConversion"/>
  </si>
  <si>
    <t>ニューイヤードレス(黄)  &lt;a href="imgs/costumes/レインディアブーツ（白・青・赤）_Preview.jpg"  target="_blank"&gt;[预览]&lt;/a&gt;&lt;br&gt;*情人节卡片*</t>
  </si>
  <si>
    <t>ニューイヤーシューズ(黃)  &lt;a href="imgs/costumes/レインディアブーツ（白・青・赤）_Preview.jpg"  target="_blank"&gt;[预览]&lt;/a&gt;&lt;br&gt;*高级巧克力*</t>
  </si>
  <si>
    <t>ロング(灰)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</si>
</sst>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sz val="11"/>
      <color theme="1"/>
      <name val="Yu Gothic"/>
      <family val="2"/>
      <charset val="128"/>
    </font>
    <font>
      <sz val="11"/>
      <color theme="1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E8461-6E61-4B1E-A08F-5231725235F1}">
  <dimension ref="A1:D63"/>
  <sheetViews>
    <sheetView tabSelected="1" topLeftCell="A46" workbookViewId="0">
      <selection activeCell="D63" sqref="A1:D63"/>
    </sheetView>
  </sheetViews>
  <sheetFormatPr defaultRowHeight="14.25" x14ac:dyDescent="0.2"/>
  <cols>
    <col min="1" max="1" width="28.7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D2">
        <f>B2*C2</f>
        <v>0</v>
      </c>
    </row>
    <row r="3" spans="1:4" x14ac:dyDescent="0.2">
      <c r="D3">
        <f t="shared" ref="D3:D6" si="0">B3*C3</f>
        <v>0</v>
      </c>
    </row>
    <row r="4" spans="1:4" x14ac:dyDescent="0.2">
      <c r="D4">
        <f t="shared" si="0"/>
        <v>0</v>
      </c>
    </row>
    <row r="5" spans="1:4" x14ac:dyDescent="0.2">
      <c r="D5">
        <f t="shared" si="0"/>
        <v>0</v>
      </c>
    </row>
    <row r="6" spans="1:4" x14ac:dyDescent="0.2">
      <c r="D6">
        <f t="shared" si="0"/>
        <v>0</v>
      </c>
    </row>
    <row r="7" spans="1:4" x14ac:dyDescent="0.2">
      <c r="A7" t="s">
        <v>4</v>
      </c>
      <c r="B7">
        <v>10</v>
      </c>
      <c r="C7">
        <v>2</v>
      </c>
      <c r="D7">
        <f>B7*C7</f>
        <v>20</v>
      </c>
    </row>
    <row r="8" spans="1:4" x14ac:dyDescent="0.2">
      <c r="A8" t="s">
        <v>5</v>
      </c>
      <c r="B8">
        <v>10</v>
      </c>
      <c r="C8">
        <v>2</v>
      </c>
      <c r="D8">
        <f t="shared" ref="D8:D27" si="1">B8*C8</f>
        <v>20</v>
      </c>
    </row>
    <row r="9" spans="1:4" x14ac:dyDescent="0.2">
      <c r="A9" t="s">
        <v>6</v>
      </c>
      <c r="B9">
        <v>2</v>
      </c>
      <c r="C9">
        <v>20</v>
      </c>
      <c r="D9">
        <f t="shared" si="1"/>
        <v>40</v>
      </c>
    </row>
    <row r="10" spans="1:4" x14ac:dyDescent="0.2">
      <c r="A10" t="s">
        <v>7</v>
      </c>
      <c r="B10">
        <v>3</v>
      </c>
      <c r="C10">
        <v>15</v>
      </c>
      <c r="D10">
        <f t="shared" si="1"/>
        <v>45</v>
      </c>
    </row>
    <row r="11" spans="1:4" x14ac:dyDescent="0.2">
      <c r="A11" t="s">
        <v>8</v>
      </c>
      <c r="B11">
        <v>5</v>
      </c>
      <c r="C11">
        <v>10</v>
      </c>
      <c r="D11">
        <f t="shared" si="1"/>
        <v>50</v>
      </c>
    </row>
    <row r="12" spans="1:4" x14ac:dyDescent="0.2">
      <c r="A12" t="s">
        <v>9</v>
      </c>
      <c r="B12">
        <v>5</v>
      </c>
      <c r="C12">
        <v>10</v>
      </c>
      <c r="D12">
        <f t="shared" si="1"/>
        <v>50</v>
      </c>
    </row>
    <row r="13" spans="1:4" x14ac:dyDescent="0.2">
      <c r="A13" t="s">
        <v>10</v>
      </c>
      <c r="B13">
        <v>8</v>
      </c>
      <c r="C13">
        <v>5</v>
      </c>
      <c r="D13">
        <f t="shared" si="1"/>
        <v>40</v>
      </c>
    </row>
    <row r="14" spans="1:4" x14ac:dyDescent="0.2">
      <c r="A14" t="s">
        <v>11</v>
      </c>
      <c r="B14">
        <v>3</v>
      </c>
      <c r="C14">
        <v>20</v>
      </c>
      <c r="D14">
        <f t="shared" si="1"/>
        <v>60</v>
      </c>
    </row>
    <row r="15" spans="1:4" x14ac:dyDescent="0.2">
      <c r="A15" t="s">
        <v>12</v>
      </c>
      <c r="B15">
        <v>5</v>
      </c>
      <c r="C15">
        <v>10</v>
      </c>
      <c r="D15">
        <f t="shared" si="1"/>
        <v>50</v>
      </c>
    </row>
    <row r="16" spans="1:4" x14ac:dyDescent="0.2">
      <c r="A16" t="s">
        <v>13</v>
      </c>
      <c r="B16">
        <v>8</v>
      </c>
      <c r="C16">
        <v>5</v>
      </c>
      <c r="D16">
        <f t="shared" si="1"/>
        <v>40</v>
      </c>
    </row>
    <row r="17" spans="1:4" x14ac:dyDescent="0.2">
      <c r="A17" t="s">
        <v>14</v>
      </c>
      <c r="B17">
        <v>9</v>
      </c>
      <c r="C17">
        <v>4</v>
      </c>
      <c r="D17">
        <f t="shared" si="1"/>
        <v>36</v>
      </c>
    </row>
    <row r="18" spans="1:4" x14ac:dyDescent="0.2">
      <c r="A18" t="s">
        <v>15</v>
      </c>
      <c r="B18">
        <v>10</v>
      </c>
      <c r="C18">
        <v>3</v>
      </c>
      <c r="D18">
        <f t="shared" si="1"/>
        <v>30</v>
      </c>
    </row>
    <row r="19" spans="1:4" x14ac:dyDescent="0.2">
      <c r="A19" t="s">
        <v>16</v>
      </c>
      <c r="B19">
        <v>9</v>
      </c>
      <c r="C19">
        <v>5</v>
      </c>
      <c r="D19">
        <f t="shared" si="1"/>
        <v>45</v>
      </c>
    </row>
    <row r="20" spans="1:4" x14ac:dyDescent="0.2">
      <c r="A20" t="s">
        <v>17</v>
      </c>
      <c r="B20">
        <v>10</v>
      </c>
      <c r="C20">
        <v>4</v>
      </c>
      <c r="D20">
        <f t="shared" si="1"/>
        <v>40</v>
      </c>
    </row>
    <row r="21" spans="1:4" x14ac:dyDescent="0.2">
      <c r="A21" t="s">
        <v>18</v>
      </c>
      <c r="B21">
        <v>11</v>
      </c>
      <c r="C21">
        <v>3</v>
      </c>
      <c r="D21">
        <f t="shared" si="1"/>
        <v>33</v>
      </c>
    </row>
    <row r="22" spans="1:4" ht="18.75" x14ac:dyDescent="0.2">
      <c r="A22" t="s">
        <v>32</v>
      </c>
      <c r="B22">
        <v>10</v>
      </c>
      <c r="C22">
        <v>3</v>
      </c>
      <c r="D22">
        <f t="shared" si="1"/>
        <v>30</v>
      </c>
    </row>
    <row r="23" spans="1:4" ht="18.75" x14ac:dyDescent="0.2">
      <c r="A23" t="s">
        <v>33</v>
      </c>
      <c r="B23">
        <v>11</v>
      </c>
      <c r="C23">
        <v>2</v>
      </c>
      <c r="D23">
        <f t="shared" si="1"/>
        <v>22</v>
      </c>
    </row>
    <row r="24" spans="1:4" ht="18.75" x14ac:dyDescent="0.2">
      <c r="A24" t="s">
        <v>34</v>
      </c>
      <c r="B24">
        <v>12</v>
      </c>
      <c r="C24">
        <v>1</v>
      </c>
      <c r="D24">
        <f t="shared" si="1"/>
        <v>12</v>
      </c>
    </row>
    <row r="25" spans="1:4" x14ac:dyDescent="0.2">
      <c r="A25" t="s">
        <v>35</v>
      </c>
      <c r="B25">
        <v>11</v>
      </c>
      <c r="C25">
        <v>3</v>
      </c>
      <c r="D25">
        <f t="shared" si="1"/>
        <v>33</v>
      </c>
    </row>
    <row r="26" spans="1:4" x14ac:dyDescent="0.2">
      <c r="A26" t="s">
        <v>36</v>
      </c>
      <c r="B26">
        <v>12</v>
      </c>
      <c r="C26">
        <v>2</v>
      </c>
      <c r="D26">
        <f t="shared" si="1"/>
        <v>24</v>
      </c>
    </row>
    <row r="27" spans="1:4" x14ac:dyDescent="0.2">
      <c r="A27" t="s">
        <v>37</v>
      </c>
      <c r="B27">
        <v>13</v>
      </c>
      <c r="C27">
        <v>1</v>
      </c>
      <c r="D27">
        <f t="shared" si="1"/>
        <v>13</v>
      </c>
    </row>
    <row r="28" spans="1:4" x14ac:dyDescent="0.2">
      <c r="A28" t="s">
        <v>19</v>
      </c>
      <c r="D28" t="str">
        <f>"*"&amp;SUM(D2:D27)&amp;"*"</f>
        <v>*733*</v>
      </c>
    </row>
    <row r="30" spans="1:4" x14ac:dyDescent="0.2">
      <c r="A30" t="s">
        <v>25</v>
      </c>
    </row>
    <row r="31" spans="1:4" ht="18.75" x14ac:dyDescent="0.2">
      <c r="A31" t="s">
        <v>39</v>
      </c>
      <c r="B31">
        <v>60</v>
      </c>
      <c r="C31">
        <v>1</v>
      </c>
      <c r="D31">
        <f t="shared" ref="D31:D35" si="2">B31*C31</f>
        <v>60</v>
      </c>
    </row>
    <row r="32" spans="1:4" x14ac:dyDescent="0.2">
      <c r="A32" t="s">
        <v>40</v>
      </c>
      <c r="B32">
        <v>60</v>
      </c>
      <c r="C32">
        <v>1</v>
      </c>
      <c r="D32">
        <f t="shared" si="2"/>
        <v>60</v>
      </c>
    </row>
    <row r="33" spans="1:4" x14ac:dyDescent="0.2">
      <c r="A33" t="s">
        <v>41</v>
      </c>
      <c r="B33">
        <v>55</v>
      </c>
      <c r="C33">
        <v>2</v>
      </c>
      <c r="D33">
        <f t="shared" si="2"/>
        <v>110</v>
      </c>
    </row>
    <row r="34" spans="1:4" x14ac:dyDescent="0.2">
      <c r="A34" t="s">
        <v>42</v>
      </c>
      <c r="B34">
        <v>60</v>
      </c>
      <c r="C34">
        <v>1</v>
      </c>
      <c r="D34">
        <f t="shared" si="2"/>
        <v>60</v>
      </c>
    </row>
    <row r="35" spans="1:4" x14ac:dyDescent="0.2">
      <c r="A35" t="s">
        <v>43</v>
      </c>
      <c r="B35">
        <v>65</v>
      </c>
      <c r="C35">
        <v>1</v>
      </c>
      <c r="D35">
        <f t="shared" si="2"/>
        <v>65</v>
      </c>
    </row>
    <row r="36" spans="1:4" x14ac:dyDescent="0.2">
      <c r="A36" t="s">
        <v>19</v>
      </c>
      <c r="D36" t="str">
        <f>"*"&amp;SUM(D31:D35)&amp;"*"</f>
        <v>*355*</v>
      </c>
    </row>
    <row r="38" spans="1:4" x14ac:dyDescent="0.2">
      <c r="A38" t="s">
        <v>26</v>
      </c>
    </row>
    <row r="39" spans="1:4" x14ac:dyDescent="0.2">
      <c r="D39">
        <f t="shared" ref="D39" si="3">B39*C39</f>
        <v>0</v>
      </c>
    </row>
    <row r="40" spans="1:4" x14ac:dyDescent="0.2">
      <c r="D40">
        <f t="shared" ref="D40:D50" si="4">B40*C40</f>
        <v>0</v>
      </c>
    </row>
    <row r="41" spans="1:4" x14ac:dyDescent="0.2">
      <c r="A41" t="s">
        <v>44</v>
      </c>
      <c r="B41">
        <v>30</v>
      </c>
      <c r="C41">
        <v>1</v>
      </c>
      <c r="D41">
        <f t="shared" si="4"/>
        <v>30</v>
      </c>
    </row>
    <row r="42" spans="1:4" x14ac:dyDescent="0.2">
      <c r="A42" t="s">
        <v>45</v>
      </c>
      <c r="B42">
        <v>30</v>
      </c>
      <c r="C42">
        <v>1</v>
      </c>
      <c r="D42">
        <f t="shared" si="4"/>
        <v>30</v>
      </c>
    </row>
    <row r="43" spans="1:4" x14ac:dyDescent="0.2">
      <c r="A43" t="s">
        <v>46</v>
      </c>
      <c r="B43">
        <v>30</v>
      </c>
      <c r="C43">
        <v>1</v>
      </c>
      <c r="D43">
        <f t="shared" si="4"/>
        <v>30</v>
      </c>
    </row>
    <row r="44" spans="1:4" x14ac:dyDescent="0.2">
      <c r="D44">
        <f t="shared" si="4"/>
        <v>0</v>
      </c>
    </row>
    <row r="45" spans="1:4" x14ac:dyDescent="0.2">
      <c r="D45">
        <f t="shared" si="4"/>
        <v>0</v>
      </c>
    </row>
    <row r="46" spans="1:4" x14ac:dyDescent="0.2">
      <c r="D46">
        <f t="shared" si="4"/>
        <v>0</v>
      </c>
    </row>
    <row r="47" spans="1:4" x14ac:dyDescent="0.2">
      <c r="D47">
        <f t="shared" si="4"/>
        <v>0</v>
      </c>
    </row>
    <row r="48" spans="1:4" x14ac:dyDescent="0.2">
      <c r="D48">
        <f t="shared" si="4"/>
        <v>0</v>
      </c>
    </row>
    <row r="49" spans="1:4" x14ac:dyDescent="0.2">
      <c r="D49">
        <f t="shared" si="4"/>
        <v>0</v>
      </c>
    </row>
    <row r="50" spans="1:4" x14ac:dyDescent="0.2">
      <c r="D50">
        <f t="shared" si="4"/>
        <v>0</v>
      </c>
    </row>
    <row r="51" spans="1:4" x14ac:dyDescent="0.2">
      <c r="A51" t="s">
        <v>19</v>
      </c>
      <c r="D51" t="str">
        <f>"*"&amp;SUM(D39:D50)&amp;"*"</f>
        <v>*90*</v>
      </c>
    </row>
    <row r="53" spans="1:4" x14ac:dyDescent="0.2">
      <c r="A53" t="s">
        <v>27</v>
      </c>
    </row>
    <row r="54" spans="1:4" x14ac:dyDescent="0.2">
      <c r="A54" t="s">
        <v>20</v>
      </c>
      <c r="B54">
        <v>1</v>
      </c>
      <c r="C54" t="s">
        <v>24</v>
      </c>
    </row>
    <row r="55" spans="1:4" x14ac:dyDescent="0.2">
      <c r="A55" t="s">
        <v>21</v>
      </c>
      <c r="B55">
        <v>10</v>
      </c>
      <c r="C55" t="s">
        <v>24</v>
      </c>
    </row>
    <row r="56" spans="1:4" x14ac:dyDescent="0.2">
      <c r="A56" t="s">
        <v>22</v>
      </c>
      <c r="B56">
        <v>20</v>
      </c>
      <c r="C56" t="s">
        <v>24</v>
      </c>
    </row>
    <row r="57" spans="1:4" x14ac:dyDescent="0.2">
      <c r="A57" t="s">
        <v>23</v>
      </c>
      <c r="B57">
        <v>200</v>
      </c>
      <c r="C57" t="s">
        <v>24</v>
      </c>
    </row>
    <row r="58" spans="1:4" x14ac:dyDescent="0.2">
      <c r="A58" t="s">
        <v>38</v>
      </c>
    </row>
    <row r="60" spans="1:4" x14ac:dyDescent="0.2">
      <c r="A60" t="s">
        <v>28</v>
      </c>
      <c r="D60">
        <f>MID(D28,2,LEN(D28)-2)+MID(D36,2,LEN(D36)-2)+MID(D51,2,LEN(D51)-2)</f>
        <v>1178</v>
      </c>
    </row>
    <row r="61" spans="1:4" x14ac:dyDescent="0.2">
      <c r="A61" t="s">
        <v>29</v>
      </c>
      <c r="D61">
        <f>3*14*5</f>
        <v>210</v>
      </c>
    </row>
    <row r="62" spans="1:4" x14ac:dyDescent="0.2">
      <c r="A62" t="s">
        <v>30</v>
      </c>
      <c r="D62">
        <f>D60-D61</f>
        <v>968</v>
      </c>
    </row>
    <row r="63" spans="1:4" x14ac:dyDescent="0.2">
      <c r="A63" t="s">
        <v>31</v>
      </c>
      <c r="D63">
        <f>ROUNDUP(D62/5,0)*3</f>
        <v>582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くりこ 桜野</dc:creator>
  <cp:lastModifiedBy>くりこ 桜野</cp:lastModifiedBy>
  <dcterms:created xsi:type="dcterms:W3CDTF">2025-03-13T16:59:45Z</dcterms:created>
  <dcterms:modified xsi:type="dcterms:W3CDTF">2026-03-11T12:51:26Z</dcterms:modified>
</cp:coreProperties>
</file>